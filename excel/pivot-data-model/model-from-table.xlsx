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28EB626-14E4-4316-AEDD-116B27FCC361}" xr6:coauthVersionLast="47" xr6:coauthVersionMax="47" xr10:uidLastSave="{00000000-0000-0000-0000-000000000000}"/>
  <bookViews>
    <workbookView xWindow="2340" yWindow="2340" windowWidth="38700" windowHeight="15225" xr2:uid="{3B046A51-EDB9-4C25-8DB5-F9911A555419}"/>
  </bookViews>
  <sheets>
    <sheet name="Sheet1" sheetId="1" r:id="rId1"/>
    <sheet name="Pivot" sheetId="2" r:id="rId2"/>
  </sheets>
  <definedNames>
    <definedName name="_xlcn.WorksheetConnection_Sales" hidden="1">Sales[]</definedName>
  </definedName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WorksheetConnection_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1" l="1"/>
  <c r="H4" i="1"/>
  <c r="H3" i="1"/>
  <c r="H2" i="1"/>
  <c r="H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F1F03B-77B7-4C35-AE79-1D5317585C3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293A133-EE06-4380-8887-51F4BDDEC428}" name="WorksheetConnection_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Sales"/>
        </x15:connection>
      </ext>
    </extLst>
  </connection>
</connections>
</file>

<file path=xl/sharedStrings.xml><?xml version="1.0" encoding="utf-8"?>
<sst xmlns="http://schemas.openxmlformats.org/spreadsheetml/2006/main" count="30" uniqueCount="17">
  <si>
    <t>Region</t>
  </si>
  <si>
    <t>Category</t>
  </si>
  <si>
    <t>Amount</t>
  </si>
  <si>
    <t>north</t>
  </si>
  <si>
    <t>a</t>
  </si>
  <si>
    <t>south</t>
  </si>
  <si>
    <t>b</t>
  </si>
  <si>
    <t>east</t>
  </si>
  <si>
    <t>c</t>
  </si>
  <si>
    <t>Row Labels</t>
  </si>
  <si>
    <t>Grand Total</t>
  </si>
  <si>
    <t>Sum of Amount</t>
  </si>
  <si>
    <t>H1: =GETPIVOTDATA("[Measures].[Sum of Amount]",Pivot!$A$3)</t>
  </si>
  <si>
    <t>H2: =GETPIVOTDATA("[Measures].[Sum of Amount]",Pivot!$A$3,"[Sales].[Region]","[Sales].[Region].&amp;[north]")</t>
  </si>
  <si>
    <t>H3: =GETPIVOTDATA("[Measures].[Sum of Amount]",Pivot!$A$3,"[Sales].[Region]","[Sales].[Region].&amp;[south]")</t>
  </si>
  <si>
    <t>H4: =GETPIVOTDATA("Sum of Amount",Pivot!$A$3)</t>
  </si>
  <si>
    <t>H5: =GETPIVOTDATA("[Measures].[Sum of Amount]",Pivot!$A$3,"[Sales].[Region]","north")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</si>
</sst>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314.633708796297" createdVersion="6" refreshedVersion="8" minRefreshableVersion="3" recordCount="0" supportSubquery="1" supportAdvancedDrill="1" xr:uid="{ABD7726D-87F2-4C81-B1C0-53BB242D4628}">
  <cacheSource type="external" connectionId="1"/>
  <cacheFields count="2">
    <cacheField name="[Sales].[Region].[Region]" caption="Region" numFmtId="0" level="1">
      <sharedItems count="3">
        <s v="east"/>
        <s v="north"/>
        <s v="south"/>
      </sharedItems>
    </cacheField>
    <cacheField name="[Measures].[Sum of Amount]" caption="Sum of Amount" numFmtId="0" hierarchy="5" level="32767"/>
  </cacheFields>
  <cacheHierarchies count="6"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Category]" caption="Category" attribute="1" defaultMemberUniqueName="[Sales].[Category].[All]" allUniqueName="[Sales].[Category].[All]" dimensionUniqueName="[Sales]" displayFolder="" count="0" memberValueDatatype="130" unbalanced="0"/>
    <cacheHierarchy uniqueName="[Sales].[Amount]" caption="Amount" attribute="1" defaultMemberUniqueName="[Sales].[Amount].[All]" allUniqueName="[Sales].[Amount].[All]" dimensionUniqueName="[Sales]" displayFolder="" count="0" memberValueDatatype="20" unbalanced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6BFE0-85B6-4AED-BD0A-8A856FE050A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/>
  </dataField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 of Amount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7C3613-D659-4D7A-8D7E-0719488CB642}" name="Sales" displayName="Sales" ref="A1:C9" totalsRowShown="0" headerRowDxfId="0">
  <autoFilter ref="A1:C9" xr:uid="{0E7C3613-D659-4D7A-8D7E-0719488CB642}"/>
  <tableColumns count="3">
    <tableColumn id="1" xr3:uid="{0023CE98-75BA-4B14-9135-B27E14CF50AF}" name="Region" dataDxfId="2"/>
    <tableColumn id="2" xr3:uid="{C3EA45B3-DD2A-4D66-BF77-F20063C477FA}" name="Category" dataDxfId="1"/>
    <tableColumn id="3" xr3:uid="{6ED3B1AD-A504-4845-B75C-DBA3BB107DEE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50A6-0610-4216-BA0C-EC2F08A3AC3B}">
  <dimension ref="A1:J9"/>
  <sheetViews>
    <sheetView tabSelected="1" workbookViewId="0"/>
  </sheetViews>
  <sheetFormatPr defaultRowHeight="15" x14ac:dyDescent="0.25"/>
  <cols>
    <col min="1" max="1" width="9.42578125" customWidth="1"/>
    <col min="2" max="2" width="11.28515625" customWidth="1"/>
    <col min="3" max="3" width="10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H1">
        <f>GETPIVOTDATA("[Measures].[Sum of Amount]",Pivot!$A$3)</f>
        <v>392</v>
      </c>
      <c r="J1" s="1" t="s">
        <v>12</v>
      </c>
    </row>
    <row r="2" spans="1:10" x14ac:dyDescent="0.25">
      <c r="A2" s="1" t="s">
        <v>3</v>
      </c>
      <c r="B2" s="1" t="s">
        <v>4</v>
      </c>
      <c r="C2">
        <v>11</v>
      </c>
      <c r="H2">
        <f>GETPIVOTDATA("[Measures].[Sum of Amount]",Pivot!$A$3,"[Sales].[Region]","[Sales].[Region].&amp;[north]")</f>
        <v>107</v>
      </c>
      <c r="J2" s="1" t="s">
        <v>13</v>
      </c>
    </row>
    <row r="3" spans="1:10" x14ac:dyDescent="0.25">
      <c r="A3" s="1" t="s">
        <v>5</v>
      </c>
      <c r="B3" s="1" t="s">
        <v>6</v>
      </c>
      <c r="C3">
        <v>23</v>
      </c>
      <c r="H3">
        <f>GETPIVOTDATA("[Measures].[Sum of Amount]",Pivot!$A$3,"[Sales].[Region]","[Sales].[Region].&amp;[south]")</f>
        <v>166</v>
      </c>
      <c r="J3" s="1" t="s">
        <v>14</v>
      </c>
    </row>
    <row r="4" spans="1:10" x14ac:dyDescent="0.25">
      <c r="A4" s="1" t="s">
        <v>3</v>
      </c>
      <c r="B4" s="1" t="s">
        <v>6</v>
      </c>
      <c r="C4">
        <v>35</v>
      </c>
      <c r="H4" t="e">
        <f>GETPIVOTDATA("Sum of Amount",Pivot!$A$3)</f>
        <v>#REF!</v>
      </c>
      <c r="J4" s="1" t="s">
        <v>15</v>
      </c>
    </row>
    <row r="5" spans="1:10" x14ac:dyDescent="0.25">
      <c r="A5" s="1" t="s">
        <v>7</v>
      </c>
      <c r="B5" s="1" t="s">
        <v>4</v>
      </c>
      <c r="C5">
        <v>47</v>
      </c>
      <c r="H5" t="e">
        <f>GETPIVOTDATA("[Measures].[Sum of Amount]",Pivot!$A$3,"[Sales].[Region]","north")</f>
        <v>#REF!</v>
      </c>
      <c r="J5" s="1" t="s">
        <v>16</v>
      </c>
    </row>
    <row r="6" spans="1:10" x14ac:dyDescent="0.25">
      <c r="A6" s="1" t="s">
        <v>5</v>
      </c>
      <c r="B6" s="1" t="s">
        <v>4</v>
      </c>
      <c r="C6">
        <v>59</v>
      </c>
    </row>
    <row r="7" spans="1:10" x14ac:dyDescent="0.25">
      <c r="A7" s="1" t="s">
        <v>3</v>
      </c>
      <c r="B7" s="1" t="s">
        <v>4</v>
      </c>
      <c r="C7">
        <v>61</v>
      </c>
    </row>
    <row r="8" spans="1:10" x14ac:dyDescent="0.25">
      <c r="A8" s="1" t="s">
        <v>7</v>
      </c>
      <c r="B8" s="1" t="s">
        <v>8</v>
      </c>
      <c r="C8">
        <v>72</v>
      </c>
    </row>
    <row r="9" spans="1:10" x14ac:dyDescent="0.25">
      <c r="A9" s="1" t="s">
        <v>5</v>
      </c>
      <c r="B9" s="1" t="s">
        <v>8</v>
      </c>
      <c r="C9">
        <v>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D7B1-963B-42FB-A24A-A8FC8F7BFA1D}">
  <dimension ref="A3:B7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9</v>
      </c>
      <c r="B3" t="s">
        <v>11</v>
      </c>
    </row>
    <row r="4" spans="1:2" x14ac:dyDescent="0.25">
      <c r="A4" s="3" t="s">
        <v>7</v>
      </c>
      <c r="B4" s="4">
        <v>119</v>
      </c>
    </row>
    <row r="5" spans="1:2" x14ac:dyDescent="0.25">
      <c r="A5" s="3" t="s">
        <v>3</v>
      </c>
      <c r="B5" s="4">
        <v>107</v>
      </c>
    </row>
    <row r="6" spans="1:2" x14ac:dyDescent="0.25">
      <c r="A6" s="3" t="s">
        <v>5</v>
      </c>
      <c r="B6" s="4">
        <v>166</v>
      </c>
    </row>
    <row r="7" spans="1:2" x14ac:dyDescent="0.25">
      <c r="A7" s="3" t="s">
        <v>10</v>
      </c>
      <c r="B7" s="4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2026-10-19T20:12:29Z</dcterms:created>
  <dcterms:modified xsi:type="dcterms:W3CDTF">2026-10-19T20:12:33Z</dcterms:modified>
</cp:coreProperties>
</file>