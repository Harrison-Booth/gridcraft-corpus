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C5A86033-8537-48A5-A654-3F7F3C5B3893}" xr6:coauthVersionLast="47" xr6:coauthVersionMax="47" xr10:uidLastSave="{00000000-0000-0000-0000-000000000000}"/>
  <bookViews>
    <workbookView xWindow="1910" yWindow="3200" windowWidth="23050" windowHeight="10190" xr2:uid="{00B47267-1605-4E1D-AA68-65293E1F5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5" i="1" l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1" i="1"/>
</calcChain>
</file>

<file path=xl/sharedStrings.xml><?xml version="1.0" encoding="utf-8"?>
<sst xmlns="http://schemas.openxmlformats.org/spreadsheetml/2006/main" count="15" uniqueCount="15">
  <si>
    <t>H1: =COUPDAYS(A1:A3,46000,2,0)</t>
  </si>
  <si>
    <t>H2: =COUPNCD(A1,46000,B1:B2,0)</t>
  </si>
  <si>
    <t>H3: =DISC(A1:A3,46000,98,100,0)</t>
  </si>
  <si>
    <t>H4: =DISC(A1,46000,98,100,B1:B3)</t>
  </si>
  <si>
    <t>H5: =PRICE(A1:A3,46000,0.05,0.06,100,2,0)</t>
  </si>
  <si>
    <t>H6: =YIELD(A1,46000,0.05,98,100,B1:B2,0)</t>
  </si>
  <si>
    <t>H7: =ACCRINT(44800,45100,A1:A3,0.05,1000,2,0)</t>
  </si>
  <si>
    <t>H8: =TBILLPRICE(A1:A3,45100,0.05)</t>
  </si>
  <si>
    <t>H9: =EFFECT(B1:B3,4)</t>
  </si>
  <si>
    <t>H10: =CUMIPMT(0.01,12,1000,B1:B3,12,0)</t>
  </si>
  <si>
    <t>H11: =XNPV(B1:B2,B1:B3,A1:A3)</t>
  </si>
  <si>
    <t>H12: =XNPV(0.1,B1:B3,A1:A3)</t>
  </si>
  <si>
    <t>H13: =FVSCHEDULE(B1:B2,{0.1,0.2})</t>
  </si>
  <si>
    <t>H14: =FVSCHEDULE(100,B1:B3)</t>
  </si>
  <si>
    <t>H15: =COUPDAYS(A1:A1,46000,2,0)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</si>
</sst>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9FB4-CAD9-433D-9BBC-38CB7B4F734B}">
  <dimension ref="A1:J15"/>
  <sheetViews>
    <sheetView tabSelected="1" workbookViewId="0"/>
  </sheetViews>
  <sheetFormatPr defaultRowHeight="14.5" x14ac:dyDescent="0.35"/>
  <sheetData>
    <row r="1" spans="1:10" x14ac:dyDescent="0.35">
      <c r="A1">
        <v>45000</v>
      </c>
      <c r="B1">
        <v>1</v>
      </c>
      <c r="F1">
        <v>1</v>
      </c>
      <c r="H1" t="e">
        <f>COUPDAYS(A1:A3,46000,2,0)</f>
        <v>#VALUE!</v>
      </c>
      <c r="J1" s="1" t="s">
        <v>0</v>
      </c>
    </row>
    <row r="2" spans="1:10" x14ac:dyDescent="0.35">
      <c r="A2">
        <v>45031</v>
      </c>
      <c r="B2">
        <v>2</v>
      </c>
      <c r="C2">
        <v>7</v>
      </c>
      <c r="F2">
        <v>2</v>
      </c>
      <c r="H2" t="e">
        <f>COUPNCD(A1,46000,B1:B2,0)</f>
        <v>#VALUE!</v>
      </c>
      <c r="J2" s="1" t="s">
        <v>1</v>
      </c>
    </row>
    <row r="3" spans="1:10" x14ac:dyDescent="0.35">
      <c r="A3">
        <v>45061</v>
      </c>
      <c r="B3">
        <v>3</v>
      </c>
      <c r="F3">
        <v>11</v>
      </c>
      <c r="H3" t="e">
        <f>DISC(A1:A3,46000,98,100,0)</f>
        <v>#VALUE!</v>
      </c>
      <c r="J3" s="1" t="s">
        <v>2</v>
      </c>
    </row>
    <row r="4" spans="1:10" x14ac:dyDescent="0.35">
      <c r="H4" t="e">
        <f>DISC(A1,46000,98,100,B1:B3)</f>
        <v>#VALUE!</v>
      </c>
      <c r="J4" s="1" t="s">
        <v>3</v>
      </c>
    </row>
    <row r="5" spans="1:10" x14ac:dyDescent="0.35">
      <c r="H5" t="e">
        <f>PRICE(A1:A3,46000,0.05,0.06,100,2,0)</f>
        <v>#VALUE!</v>
      </c>
      <c r="J5" s="1" t="s">
        <v>4</v>
      </c>
    </row>
    <row r="6" spans="1:10" x14ac:dyDescent="0.35">
      <c r="H6" t="e">
        <f>YIELD(A1,46000,0.05,98,100,B1:B2,0)</f>
        <v>#VALUE!</v>
      </c>
      <c r="J6" s="1" t="s">
        <v>5</v>
      </c>
    </row>
    <row r="7" spans="1:10" x14ac:dyDescent="0.35">
      <c r="H7" t="e">
        <f>ACCRINT(44800,45100,A1:A3,0.05,1000,2,0)</f>
        <v>#VALUE!</v>
      </c>
      <c r="J7" s="1" t="s">
        <v>6</v>
      </c>
    </row>
    <row r="8" spans="1:10" x14ac:dyDescent="0.35">
      <c r="H8" t="e">
        <f>TBILLPRICE(A1:A3,45100,0.05)</f>
        <v>#VALUE!</v>
      </c>
      <c r="J8" s="1" t="s">
        <v>7</v>
      </c>
    </row>
    <row r="9" spans="1:10" x14ac:dyDescent="0.35">
      <c r="H9" t="e">
        <f>EFFECT(B1:B3,4)</f>
        <v>#VALUE!</v>
      </c>
      <c r="J9" s="1" t="s">
        <v>8</v>
      </c>
    </row>
    <row r="10" spans="1:10" x14ac:dyDescent="0.35">
      <c r="H10" t="e">
        <f>CUMIPMT(0.01,12,1000,B1:B3,12,0)</f>
        <v>#VALUE!</v>
      </c>
      <c r="J10" s="1" t="s">
        <v>9</v>
      </c>
    </row>
    <row r="11" spans="1:10" x14ac:dyDescent="0.35">
      <c r="H11" t="e">
        <f>XNPV(B1:B2,B1:B3,A1:A3)</f>
        <v>#VALUE!</v>
      </c>
      <c r="J11" s="1" t="s">
        <v>10</v>
      </c>
    </row>
    <row r="12" spans="1:10" x14ac:dyDescent="0.35">
      <c r="H12">
        <f>XNPV(0.1,B1:B3,A1:A3)</f>
        <v>5.9364685891893512</v>
      </c>
      <c r="J12" s="1" t="s">
        <v>11</v>
      </c>
    </row>
    <row r="13" spans="1:10" x14ac:dyDescent="0.35">
      <c r="H13" t="e">
        <f>FVSCHEDULE(B1:B2,{0.1,0.2})</f>
        <v>#VALUE!</v>
      </c>
      <c r="J13" s="1" t="s">
        <v>12</v>
      </c>
    </row>
    <row r="14" spans="1:10" x14ac:dyDescent="0.35">
      <c r="H14">
        <f>FVSCHEDULE(100,B1:B3)</f>
        <v>2400</v>
      </c>
      <c r="J14" s="1" t="s">
        <v>13</v>
      </c>
    </row>
    <row r="15" spans="1:10" x14ac:dyDescent="0.35">
      <c r="H15">
        <f>COUPDAYS(A1:A1,46000,2,0)</f>
        <v>180</v>
      </c>
      <c r="J15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2026-10-15T00:48:13Z</dcterms:created>
  <dcterms:modified xsi:type="dcterms:W3CDTF">2026-10-15T00:48:15Z</dcterms:modified>
</cp:coreProperties>
</file>