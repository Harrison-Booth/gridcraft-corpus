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C0CC6B5-12E1-4A9E-BDB8-6B9675A83CA5}" xr6:coauthVersionLast="47" xr6:coauthVersionMax="47" xr10:uidLastSave="{00000000-0000-0000-0000-000000000000}"/>
  <bookViews>
    <workbookView xWindow="1910" yWindow="3200" windowWidth="23050" windowHeight="10190" xr2:uid="{E2CC0552-0B21-471F-BE02-77E9A687F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<sst xmlns="http://schemas.openxmlformats.org/spreadsheetml/2006/main" count="17" uniqueCount="17">
  <si>
    <t>H1: =EOMONTH(A1:A3,1)</t>
  </si>
  <si>
    <t>H2: =EOMONTH(A1,B1:B3)</t>
  </si>
  <si>
    <t>H3: =EDATE(A1:A3,1)</t>
  </si>
  <si>
    <t>H4: =EDATE(A1,B1:B3)</t>
  </si>
  <si>
    <t>H5: =WORKDAY(A1:A3,1)</t>
  </si>
  <si>
    <t>H6: =WORKDAY(A1,B1:B3)</t>
  </si>
  <si>
    <t>H7: =WORKDAY.INTL(A1:A3,1)</t>
  </si>
  <si>
    <t>H8: =NETWORKDAYS(A1:A3,A3)</t>
  </si>
  <si>
    <t>H9: =NETWORKDAYS.INTL(A1,A1:A3)</t>
  </si>
  <si>
    <t>H10: =YEARFRAC(A1:A3,A3)</t>
  </si>
  <si>
    <t>H11: =YEARFRAC(A1,A3,B1:B2)</t>
  </si>
  <si>
    <t>H12: =WEEKNUM(A1:A3)</t>
  </si>
  <si>
    <t>H13: =WEEKNUM(A1,B1:B3)</t>
  </si>
  <si>
    <t>H14: =SUMPRODUCT(EOMONTH(A1:A3,0))</t>
  </si>
  <si>
    <t>H15: =EOMONTH(A1:A1,0)</t>
  </si>
  <si>
    <t>H16: =WORKDAY(A1,1,A1:A3)</t>
  </si>
  <si>
    <t>H17: =NETWORKDAYS(A1,A3,A1:A3)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</si>
</sst>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EB2-752F-40B0-90D7-BF857D1D12CE}">
  <dimension ref="A1:J17"/>
  <sheetViews>
    <sheetView tabSelected="1" workbookViewId="0"/>
  </sheetViews>
  <sheetFormatPr defaultRowHeight="14.5" x14ac:dyDescent="0.35"/>
  <sheetData>
    <row r="1" spans="1:10" x14ac:dyDescent="0.35">
      <c r="A1">
        <v>45000</v>
      </c>
      <c r="B1">
        <v>1</v>
      </c>
      <c r="F1">
        <v>1</v>
      </c>
      <c r="H1" t="e">
        <f>EOMONTH(A1:A3,1)</f>
        <v>#VALUE!</v>
      </c>
      <c r="J1" s="1" t="s">
        <v>0</v>
      </c>
    </row>
    <row r="2" spans="1:10" x14ac:dyDescent="0.35">
      <c r="A2">
        <v>45031</v>
      </c>
      <c r="B2">
        <v>2</v>
      </c>
      <c r="C2">
        <v>7</v>
      </c>
      <c r="F2">
        <v>2</v>
      </c>
      <c r="H2" t="e">
        <f>EOMONTH(A1,B1:B3)</f>
        <v>#VALUE!</v>
      </c>
      <c r="J2" s="1" t="s">
        <v>1</v>
      </c>
    </row>
    <row r="3" spans="1:10" x14ac:dyDescent="0.35">
      <c r="A3">
        <v>45061</v>
      </c>
      <c r="B3">
        <v>3</v>
      </c>
      <c r="F3">
        <v>11</v>
      </c>
      <c r="H3" t="e">
        <f>EDATE(A1:A3,1)</f>
        <v>#VALUE!</v>
      </c>
      <c r="J3" s="1" t="s">
        <v>2</v>
      </c>
    </row>
    <row r="4" spans="1:10" x14ac:dyDescent="0.35">
      <c r="H4" t="e">
        <f>EDATE(A1,B1:B3)</f>
        <v>#VALUE!</v>
      </c>
      <c r="J4" s="1" t="s">
        <v>3</v>
      </c>
    </row>
    <row r="5" spans="1:10" x14ac:dyDescent="0.35">
      <c r="H5" t="e">
        <f>WORKDAY(A1:A3,1)</f>
        <v>#VALUE!</v>
      </c>
      <c r="J5" s="1" t="s">
        <v>4</v>
      </c>
    </row>
    <row r="6" spans="1:10" x14ac:dyDescent="0.35">
      <c r="H6" t="e">
        <f>WORKDAY(A1,B1:B3)</f>
        <v>#VALUE!</v>
      </c>
      <c r="J6" s="1" t="s">
        <v>5</v>
      </c>
    </row>
    <row r="7" spans="1:10" x14ac:dyDescent="0.35">
      <c r="H7" t="e">
        <f>WORKDAY.INTL(A1:A3,1)</f>
        <v>#VALUE!</v>
      </c>
      <c r="J7" s="1" t="s">
        <v>6</v>
      </c>
    </row>
    <row r="8" spans="1:10" x14ac:dyDescent="0.35">
      <c r="H8" t="e">
        <f>NETWORKDAYS(A1:A3,A3)</f>
        <v>#VALUE!</v>
      </c>
      <c r="J8" s="1" t="s">
        <v>7</v>
      </c>
    </row>
    <row r="9" spans="1:10" x14ac:dyDescent="0.35">
      <c r="H9" t="e">
        <f>NETWORKDAYS.INTL(A1,A1:A3)</f>
        <v>#VALUE!</v>
      </c>
      <c r="J9" s="1" t="s">
        <v>8</v>
      </c>
    </row>
    <row r="10" spans="1:10" x14ac:dyDescent="0.35">
      <c r="H10" t="e">
        <f>YEARFRAC(A1:A3,A3)</f>
        <v>#VALUE!</v>
      </c>
      <c r="J10" s="1" t="s">
        <v>9</v>
      </c>
    </row>
    <row r="11" spans="1:10" x14ac:dyDescent="0.35">
      <c r="H11" t="e">
        <f>YEARFRAC(A1,A3,B1:B2)</f>
        <v>#VALUE!</v>
      </c>
      <c r="J11" s="1" t="s">
        <v>10</v>
      </c>
    </row>
    <row r="12" spans="1:10" x14ac:dyDescent="0.35">
      <c r="H12" t="e">
        <f>WEEKNUM(A1:A3)</f>
        <v>#VALUE!</v>
      </c>
      <c r="J12" s="1" t="s">
        <v>11</v>
      </c>
    </row>
    <row r="13" spans="1:10" x14ac:dyDescent="0.35">
      <c r="H13" t="e">
        <f>WEEKNUM(A1,B1:B3)</f>
        <v>#VALUE!</v>
      </c>
      <c r="J13" s="1" t="s">
        <v>12</v>
      </c>
    </row>
    <row r="14" spans="1:10" x14ac:dyDescent="0.35">
      <c r="H14" t="e">
        <f>SUMPRODUCT(EOMONTH(A1:A3,0))</f>
        <v>#VALUE!</v>
      </c>
      <c r="J14" s="1" t="s">
        <v>13</v>
      </c>
    </row>
    <row r="15" spans="1:10" x14ac:dyDescent="0.35">
      <c r="H15">
        <f>EOMONTH(A1:A1,0)</f>
        <v>45016</v>
      </c>
      <c r="J15" s="1" t="s">
        <v>14</v>
      </c>
    </row>
    <row r="16" spans="1:10" x14ac:dyDescent="0.35">
      <c r="H16">
        <f>WORKDAY(A1,1,A1:A3)</f>
        <v>45001</v>
      </c>
      <c r="J16" s="1" t="s">
        <v>15</v>
      </c>
    </row>
    <row r="17" spans="8:10" x14ac:dyDescent="0.35">
      <c r="H17">
        <f>NETWORKDAYS(A1,A3,A1:A3)</f>
        <v>42</v>
      </c>
      <c r="J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2026-10-15T00:48:00Z</dcterms:created>
  <dcterms:modified xsi:type="dcterms:W3CDTF">2026-10-15T00:48:12Z</dcterms:modified>
</cp:coreProperties>
</file>