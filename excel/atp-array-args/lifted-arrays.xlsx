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E9E2E842-9CAE-4479-9E65-1713181D0D17}" xr6:coauthVersionLast="47" xr6:coauthVersionMax="47" xr10:uidLastSave="{00000000-0000-0000-0000-000000000000}"/>
  <bookViews>
    <workbookView xWindow="1910" yWindow="3200" windowWidth="23050" windowHeight="10190" xr2:uid="{733D1CCF-9033-470F-9932-E49F1A41B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7" i="1" l="1" a="1"/>
  <c r="H37" i="1" s="1"/>
  <c r="H33" i="1" a="1"/>
  <c r="H33" i="1" s="1"/>
  <c r="H29" i="1" a="1"/>
  <c r="H29" i="1" s="1"/>
  <c r="H25" i="1" a="1"/>
  <c r="H25" i="1" s="1"/>
  <c r="H21" i="1" a="1"/>
  <c r="H21" i="1" s="1"/>
  <c r="H17" i="1" a="1"/>
  <c r="H17" i="1" s="1"/>
  <c r="H13" i="1" a="1"/>
  <c r="H13" i="1" s="1"/>
  <c r="H9" i="1" a="1"/>
  <c r="H9" i="1" s="1"/>
  <c r="H5" i="1" a="1"/>
  <c r="H5" i="1" s="1"/>
  <c r="H1" i="1" a="1"/>
  <c r="H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<sst xmlns="http://schemas.openxmlformats.org/spreadsheetml/2006/main" count="10" uniqueCount="10">
  <si>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H1: =EOMONTH(A1:A3+0,0)</t>
  </si>
  <si>
    <t>H5: =EOMONTH(A1,{1,2})</t>
  </si>
  <si>
    <t>H9: =EOMONTH(A1,{1;2})</t>
  </si>
  <si>
    <t>H13: =EOMONTH(A1:A3,{1;2})</t>
  </si>
  <si>
    <t>H17: =EOMONTH(TRANSPOSE(A1:A3),0)</t>
  </si>
  <si>
    <t>H21: =MAP(A1:A3,LAMBDA(x,EOMONTH(x,0)))</t>
  </si>
  <si>
    <t>H25: =NETWORKDAYS.INTL(A1,A3+30,F1:F3)</t>
  </si>
  <si>
    <t>H29: =ISOWEEKNUM(A1:A3)</t>
  </si>
  <si>
    <t>H33: =BITAND(B1:B3,1)</t>
  </si>
  <si>
    <t>H37: =COUPDAYS(A1:A3+0,46000,2,0)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</si>
</sst>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3961-C513-4CD4-857F-CDB1094DE85B}">
  <dimension ref="A1:L39"/>
  <sheetViews>
    <sheetView tabSelected="1" workbookViewId="0"/>
  </sheetViews>
  <sheetFormatPr defaultRowHeight="14.5" x14ac:dyDescent="0.35"/>
  <sheetData>
    <row r="1" spans="1:12" x14ac:dyDescent="0.35">
      <c r="A1">
        <v>45000</v>
      </c>
      <c r="B1">
        <v>1</v>
      </c>
      <c r="F1">
        <v>1</v>
      </c>
      <c r="H1" cm="1">
        <f t="array" ref="H1:H3">EOMONTH(A1:A3+0,0)</f>
        <v>45016</v>
      </c>
      <c r="L1" s="1" t="s">
        <v>0</v>
      </c>
    </row>
    <row r="2" spans="1:12" x14ac:dyDescent="0.35">
      <c r="A2">
        <v>45031</v>
      </c>
      <c r="B2">
        <v>2</v>
      </c>
      <c r="C2">
        <v>7</v>
      </c>
      <c r="F2">
        <v>2</v>
      </c>
      <c r="H2">
        <v>45046</v>
      </c>
      <c r="L2" s="1" t="s">
        <v>1</v>
      </c>
    </row>
    <row r="3" spans="1:12" x14ac:dyDescent="0.35">
      <c r="A3">
        <v>45061</v>
      </c>
      <c r="B3">
        <v>3</v>
      </c>
      <c r="F3">
        <v>11</v>
      </c>
      <c r="H3">
        <v>45077</v>
      </c>
      <c r="L3" s="1" t="s">
        <v>2</v>
      </c>
    </row>
    <row r="4" spans="1:12" x14ac:dyDescent="0.35">
      <c r="L4" s="1" t="s">
        <v>3</v>
      </c>
    </row>
    <row r="5" spans="1:12" x14ac:dyDescent="0.35">
      <c r="H5" cm="1">
        <f t="array" ref="H5:I5">EOMONTH(A1,{1,2})</f>
        <v>45046</v>
      </c>
      <c r="I5">
        <v>45077</v>
      </c>
      <c r="L5" s="1" t="s">
        <v>4</v>
      </c>
    </row>
    <row r="6" spans="1:12" x14ac:dyDescent="0.35">
      <c r="L6" s="1" t="s">
        <v>5</v>
      </c>
    </row>
    <row r="7" spans="1:12" x14ac:dyDescent="0.35">
      <c r="L7" s="1" t="s">
        <v>6</v>
      </c>
    </row>
    <row r="8" spans="1:12" x14ac:dyDescent="0.35">
      <c r="L8" s="1" t="s">
        <v>7</v>
      </c>
    </row>
    <row r="9" spans="1:12" x14ac:dyDescent="0.35">
      <c r="H9" cm="1">
        <f t="array" ref="H9:H10">EOMONTH(A1,{1;2})</f>
        <v>45046</v>
      </c>
      <c r="L9" s="1" t="s">
        <v>8</v>
      </c>
    </row>
    <row r="10" spans="1:12" x14ac:dyDescent="0.35">
      <c r="H10">
        <v>45077</v>
      </c>
      <c r="L10" s="1" t="s">
        <v>9</v>
      </c>
    </row>
    <row r="13" spans="1:12" x14ac:dyDescent="0.35">
      <c r="H13" t="e" cm="1">
        <f t="array" ref="H13:H14">EOMONTH(A1:A3,{1;2})</f>
        <v>#VALUE!</v>
      </c>
    </row>
    <row r="14" spans="1:12" x14ac:dyDescent="0.35">
      <c r="H14" t="e">
        <v>#VALUE!</v>
      </c>
    </row>
    <row r="17" spans="8:10" x14ac:dyDescent="0.35">
      <c r="H17" cm="1">
        <f t="array" ref="H17:J17">EOMONTH(TRANSPOSE(A1:A3),0)</f>
        <v>45016</v>
      </c>
      <c r="I17">
        <v>45046</v>
      </c>
      <c r="J17">
        <v>45077</v>
      </c>
    </row>
    <row r="21" spans="8:10" x14ac:dyDescent="0.35">
      <c r="H21" cm="1">
        <f t="array" ref="H21:H23">_xlfn.MAP(A1:A3,_xlfn.LAMBDA(_xlpm.x,EOMONTH(_xlpm.x,0)))</f>
        <v>45016</v>
      </c>
    </row>
    <row r="22" spans="8:10" x14ac:dyDescent="0.35">
      <c r="H22">
        <v>45046</v>
      </c>
    </row>
    <row r="23" spans="8:10" x14ac:dyDescent="0.35">
      <c r="H23">
        <v>45077</v>
      </c>
    </row>
    <row r="25" spans="8:10" x14ac:dyDescent="0.35">
      <c r="H25" cm="1">
        <f t="array" ref="H25:H27">NETWORKDAYS.INTL(A1,A3+30,F1:F3)</f>
        <v>66</v>
      </c>
    </row>
    <row r="26" spans="8:10" x14ac:dyDescent="0.35">
      <c r="H26">
        <v>66</v>
      </c>
    </row>
    <row r="27" spans="8:10" x14ac:dyDescent="0.35">
      <c r="H27">
        <v>79</v>
      </c>
    </row>
    <row r="29" spans="8:10" x14ac:dyDescent="0.35">
      <c r="H29" cm="1">
        <f t="array" ref="H29:H31">_xlfn.ISOWEEKNUM(A1:A3)</f>
        <v>11</v>
      </c>
    </row>
    <row r="30" spans="8:10" x14ac:dyDescent="0.35">
      <c r="H30">
        <v>15</v>
      </c>
    </row>
    <row r="31" spans="8:10" x14ac:dyDescent="0.35">
      <c r="H31">
        <v>20</v>
      </c>
    </row>
    <row r="33" spans="8:8" x14ac:dyDescent="0.35">
      <c r="H33" cm="1">
        <f t="array" ref="H33:H35">_xlfn.BITAND(B1:B3,1)</f>
        <v>1</v>
      </c>
    </row>
    <row r="34" spans="8:8" x14ac:dyDescent="0.35">
      <c r="H34">
        <v>0</v>
      </c>
    </row>
    <row r="35" spans="8:8" x14ac:dyDescent="0.35">
      <c r="H35">
        <v>1</v>
      </c>
    </row>
    <row r="37" spans="8:8" x14ac:dyDescent="0.35">
      <c r="H37" cm="1">
        <f t="array" ref="H37:H39">COUPDAYS(A1:A3+0,46000,2,0)</f>
        <v>180</v>
      </c>
    </row>
    <row r="38" spans="8:8" x14ac:dyDescent="0.35">
      <c r="H38">
        <v>180</v>
      </c>
    </row>
    <row r="39" spans="8:8" x14ac:dyDescent="0.35">
      <c r="H39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2026-10-15T00:48:22Z</dcterms:created>
  <dcterms:modified xsi:type="dcterms:W3CDTF">2026-10-15T00:48:25Z</dcterms:modified>
</cp:coreProperties>
</file>