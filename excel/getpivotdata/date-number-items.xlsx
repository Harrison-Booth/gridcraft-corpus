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9CFF638-7A23-420B-B94F-2164EDD77A21}" xr6:coauthVersionLast="47" xr6:coauthVersionMax="47" xr10:uidLastSave="{00000000-0000-0000-0000-000000000000}"/>
  <bookViews>
    <workbookView xWindow="1950" yWindow="1950" windowWidth="38700" windowHeight="15285" xr2:uid="{AB5E48A3-CC58-45A4-B54E-B2F13796E8FF}"/>
  </bookViews>
  <sheets>
    <sheet name="Sheet1" sheetId="1" r:id="rId1"/>
  </sheets>
  <calcPr calcId="191029"/>
  <pivotCaches>
    <pivotCache cacheId="28" r:id="rId2"/>
    <pivotCache cacheId="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" i="1" l="1"/>
  <c r="Q7" i="1"/>
  <c r="Q6" i="1"/>
  <c r="Q5" i="1"/>
  <c r="Q4" i="1"/>
  <c r="Q3" i="1"/>
  <c r="Q2" i="1"/>
  <c r="Q1" i="1"/>
</calcChain>
</file>

<file path=xl/sharedStrings.xml><?xml version="1.0" encoding="utf-8"?>
<sst xmlns="http://schemas.openxmlformats.org/spreadsheetml/2006/main" count="35" uniqueCount="22">
  <si>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</si>
  <si>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</si>
  <si>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</si>
  <si>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</si>
  <si>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</si>
  <si>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</si>
  <si>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</si>
  <si>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</si>
  <si>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</si>
  <si>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</si>
  <si>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</si>
  <si>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</si>
  <si>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</si>
  <si>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</si>
  <si>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Q1: =GETPIVOTDATA("Amount",$G$3,"Date",DATE(2026,1,15))</t>
  </si>
  <si>
    <t>Q2: =GETPIVOTDATA("Amount",$G$3,"Date",46054)</t>
  </si>
  <si>
    <t>Q3: =GETPIVOTDATA("Amount",$G$3,"Date","3/10/2026")</t>
  </si>
  <si>
    <t>Q4: =GETPIVOTDATA("Amount",$G$3,"Date","2026-01-15")</t>
  </si>
  <si>
    <t>Q5: =GETPIVOTDATA("Amount",$G$3,"Date",DATE(2026,1,16))</t>
  </si>
  <si>
    <t>Q6: =GETPIVOTDATA("Amount",$G$20,"Size",10)</t>
  </si>
  <si>
    <t>Q7: =GETPIVOTDATA("Amount",$G$20,"Size","20")</t>
  </si>
  <si>
    <t>Q8: =GETPIVOTDATA("Amount",$G$20,"Size",10.5)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</si>
</sst>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00694445" createdVersion="8" refreshedVersion="8" minRefreshableVersion="3" recordCount="8" xr:uid="{D0DDBD2F-DD37-41EB-B274-E436FF40ED75}">
  <cacheSource type="worksheet">
    <worksheetSource ref="A1:E9" sheet="Sheet1"/>
  </cacheSource>
  <cacheFields count="5">
    <cacheField name="Region" numFmtId="49">
      <sharedItems/>
    </cacheField>
    <cacheField name="Category" numFmtId="49">
      <sharedItems/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 count="3">
        <d v="2026-01-15T00:00:00"/>
        <d v="2026-02-01T00:00:00"/>
        <d v="2026-03-10T00:00:00"/>
      </sharedItems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01273145" createdVersion="8" refreshedVersion="8" minRefreshableVersion="3" recordCount="8" xr:uid="{73BD2F70-39A3-4543-963E-7E81617091A3}">
  <cacheSource type="worksheet">
    <worksheetSource ref="A1:E9" sheet="Sheet1"/>
  </cacheSource>
  <cacheFields count="5">
    <cacheField name="Region" numFmtId="49">
      <sharedItems/>
    </cacheField>
    <cacheField name="Category" numFmtId="49">
      <sharedItems/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 count="2">
        <n v="10"/>
        <n v="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s v="a"/>
    <n v="11"/>
    <x v="0"/>
    <n v="10"/>
  </r>
  <r>
    <s v="south"/>
    <s v="b"/>
    <n v="23"/>
    <x v="0"/>
    <n v="20"/>
  </r>
  <r>
    <s v="north"/>
    <s v="b"/>
    <n v="35"/>
    <x v="1"/>
    <n v="10"/>
  </r>
  <r>
    <s v="east"/>
    <s v="a"/>
    <n v="47"/>
    <x v="1"/>
    <n v="20"/>
  </r>
  <r>
    <s v="south"/>
    <s v="a"/>
    <n v="59"/>
    <x v="0"/>
    <n v="10"/>
  </r>
  <r>
    <s v="north"/>
    <s v="a"/>
    <n v="61"/>
    <x v="2"/>
    <n v="20"/>
  </r>
  <r>
    <s v="east"/>
    <s v="c"/>
    <n v="72"/>
    <x v="2"/>
    <n v="10"/>
  </r>
  <r>
    <s v="south"/>
    <s v="c"/>
    <n v="84"/>
    <x v="1"/>
    <n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north"/>
    <s v="a"/>
    <n v="11"/>
    <d v="2026-01-15T00:00:00"/>
    <x v="0"/>
  </r>
  <r>
    <s v="south"/>
    <s v="b"/>
    <n v="23"/>
    <d v="2026-01-15T00:00:00"/>
    <x v="1"/>
  </r>
  <r>
    <s v="north"/>
    <s v="b"/>
    <n v="35"/>
    <d v="2026-02-01T00:00:00"/>
    <x v="0"/>
  </r>
  <r>
    <s v="east"/>
    <s v="a"/>
    <n v="47"/>
    <d v="2026-02-01T00:00:00"/>
    <x v="1"/>
  </r>
  <r>
    <s v="south"/>
    <s v="a"/>
    <n v="59"/>
    <d v="2026-01-15T00:00:00"/>
    <x v="0"/>
  </r>
  <r>
    <s v="north"/>
    <s v="a"/>
    <n v="61"/>
    <d v="2026-03-10T00:00:00"/>
    <x v="1"/>
  </r>
  <r>
    <s v="east"/>
    <s v="c"/>
    <n v="72"/>
    <d v="2026-03-10T00:00:00"/>
    <x v="0"/>
  </r>
  <r>
    <s v="south"/>
    <s v="c"/>
    <n v="84"/>
    <d v="2026-02-01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8AE78-FE7A-479B-98AC-951866D53583}" name="PT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0:H23" firstHeaderRow="1" firstDataRow="1" firstDataCol="1"/>
  <pivotFields count="5">
    <pivotField showAll="0"/>
    <pivotField showAll="0"/>
    <pivotField dataField="1" showAll="0"/>
    <pivotField numFmtId="14" showAll="0"/>
    <pivotField axis="axisRow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59CE2-A6A6-4D87-8B5F-79B484928FE8}" name="PT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5">
    <pivotField showAll="0"/>
    <pivotField showAll="0"/>
    <pivotField dataField="1" showAll="0"/>
    <pivotField axis="axisRow" numFmtId="14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B0D1-3758-42EE-AB5E-59C04FB144A1}">
  <dimension ref="A1:S23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GETPIVOTDATA("Amount",$G$3,"Date",DATE(2026,1,15))</f>
        <v>93</v>
      </c>
      <c r="S1" s="1" t="s">
        <v>14</v>
      </c>
    </row>
    <row r="2" spans="1:19" x14ac:dyDescent="0.25">
      <c r="A2" s="1" t="s">
        <v>5</v>
      </c>
      <c r="B2" s="1" t="s">
        <v>6</v>
      </c>
      <c r="C2">
        <v>11</v>
      </c>
      <c r="D2" s="2">
        <v>46037</v>
      </c>
      <c r="E2">
        <v>10</v>
      </c>
      <c r="Q2">
        <f>GETPIVOTDATA("Amount",$G$3,"Date",46054)</f>
        <v>166</v>
      </c>
      <c r="S2" s="1" t="s">
        <v>15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13</v>
      </c>
      <c r="Q3">
        <f>GETPIVOTDATA("Amount",$G$3,"Date","3/10/2026")</f>
        <v>133</v>
      </c>
      <c r="S3" s="1" t="s">
        <v>16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>
        <v>46037</v>
      </c>
      <c r="H4" s="5">
        <v>93</v>
      </c>
      <c r="Q4" t="e">
        <f>GETPIVOTDATA("Amount",$G$3,"Date","2026-01-15")</f>
        <v>#REF!</v>
      </c>
      <c r="S4" s="1" t="s">
        <v>17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4">
        <v>46054</v>
      </c>
      <c r="H5" s="5">
        <v>166</v>
      </c>
      <c r="Q5" t="e">
        <f>GETPIVOTDATA("Amount",$G$3,"Date",DATE(2026,1,16))</f>
        <v>#REF!</v>
      </c>
      <c r="S5" s="1" t="s">
        <v>18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>
        <v>46091</v>
      </c>
      <c r="H6" s="5">
        <v>133</v>
      </c>
      <c r="Q6">
        <f>GETPIVOTDATA("Amount",$G$20,"Size",10)</f>
        <v>177</v>
      </c>
      <c r="S6" s="1" t="s">
        <v>19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12</v>
      </c>
      <c r="H7" s="5">
        <v>392</v>
      </c>
      <c r="Q7">
        <f>GETPIVOTDATA("Amount",$G$20,"Size","20")</f>
        <v>215</v>
      </c>
      <c r="S7" s="1" t="s">
        <v>20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  <c r="Q8" t="e">
        <f>GETPIVOTDATA("Amount",$G$20,"Size",10.5)</f>
        <v>#REF!</v>
      </c>
      <c r="S8" s="1" t="s">
        <v>21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</row>
    <row r="20" spans="7:8" x14ac:dyDescent="0.25">
      <c r="G20" s="3" t="s">
        <v>11</v>
      </c>
      <c r="H20" t="s">
        <v>13</v>
      </c>
    </row>
    <row r="21" spans="7:8" x14ac:dyDescent="0.25">
      <c r="G21" s="6">
        <v>10</v>
      </c>
      <c r="H21" s="5">
        <v>177</v>
      </c>
    </row>
    <row r="22" spans="7:8" x14ac:dyDescent="0.25">
      <c r="G22" s="6">
        <v>20</v>
      </c>
      <c r="H22" s="5">
        <v>215</v>
      </c>
    </row>
    <row r="23" spans="7:8" x14ac:dyDescent="0.25">
      <c r="G23" s="6" t="s">
        <v>12</v>
      </c>
      <c r="H23" s="5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2026-10-19T18:11:51Z</dcterms:created>
  <dcterms:modified xsi:type="dcterms:W3CDTF">2026-10-19T18:11:51Z</dcterms:modified>
</cp:coreProperties>
</file>