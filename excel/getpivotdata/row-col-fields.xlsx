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04D88D1C-8FA4-4DD6-99D4-20218153E006}" xr6:coauthVersionLast="47" xr6:coauthVersionMax="47" xr10:uidLastSave="{00000000-0000-0000-0000-000000000000}"/>
  <bookViews>
    <workbookView xWindow="1950" yWindow="1950" windowWidth="38700" windowHeight="15285" xr2:uid="{8630EAE0-88D3-49C5-90AB-16D5C4E0A913}"/>
  </bookViews>
  <sheets>
    <sheet name="Sheet1" sheetId="1" r:id="rId1"/>
  </sheets>
  <calcPr calcId="191029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9" i="1" l="1"/>
  <c r="Q8" i="1"/>
  <c r="Q7" i="1"/>
  <c r="Q6" i="1"/>
  <c r="Q5" i="1"/>
  <c r="Q4" i="1"/>
  <c r="Q3" i="1"/>
  <c r="Q2" i="1"/>
  <c r="Q1" i="1"/>
</calcChain>
</file>

<file path=xl/sharedStrings.xml><?xml version="1.0" encoding="utf-8"?>
<sst xmlns="http://schemas.openxmlformats.org/spreadsheetml/2006/main" count="41" uniqueCount="24">
  <si>
    <t>Region</t>
  </si>
  <si>
    <t>Category</t>
  </si>
  <si>
    <t>Amount</t>
  </si>
  <si>
    <t>Date</t>
  </si>
  <si>
    <t>Size</t>
  </si>
  <si>
    <t>north</t>
  </si>
  <si>
    <t>a</t>
  </si>
  <si>
    <t>south</t>
  </si>
  <si>
    <t>b</t>
  </si>
  <si>
    <t>east</t>
  </si>
  <si>
    <t>c</t>
  </si>
  <si>
    <t>Row Labels</t>
  </si>
  <si>
    <t>Grand Total</t>
  </si>
  <si>
    <t>Column Labels</t>
  </si>
  <si>
    <t>Sum of Amount</t>
  </si>
  <si>
    <t>Q1: =GETPIVOTDATA("Amount",$G$3)</t>
  </si>
  <si>
    <t>Q2: =GETPIVOTDATA("Amount",$G$3,"Region","north")</t>
  </si>
  <si>
    <t>Q3: =GETPIVOTDATA("Amount",$G$3,"Category","a")</t>
  </si>
  <si>
    <t>Q4: =GETPIVOTDATA("Amount",$G$3,"Region","south","Category","c")</t>
  </si>
  <si>
    <t>Q5: =GETPIVOTDATA("Amount",$G$3,"Category","c","Region","east")</t>
  </si>
  <si>
    <t>Q6: =GETPIVOTDATA("Amount",$G$3,"Region","east","Category","b")</t>
  </si>
  <si>
    <t>Q7: =GETPIVOTDATA("Amount",$H$5,"Category","b")</t>
  </si>
  <si>
    <t>Q8: =GETPIVOTDATA("Amount",$A$20)</t>
  </si>
  <si>
    <t>Q9: =GETPIVOTDATA("Amount",$G$3,"Category","d")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</si>
</sst>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14.549874537035" createdVersion="8" refreshedVersion="8" minRefreshableVersion="3" recordCount="8" xr:uid="{92ACEC41-67D9-45D5-9A6B-5BD13AEB5503}">
  <cacheSource type="worksheet">
    <worksheetSource ref="A1:E9" sheet="Sheet1"/>
  </cacheSource>
  <cacheFields count="5">
    <cacheField name="Region" numFmtId="49">
      <sharedItems count="3">
        <s v="north"/>
        <s v="south"/>
        <s v="east"/>
      </sharedItems>
    </cacheField>
    <cacheField name="Category" numFmtId="49">
      <sharedItems count="3">
        <s v="a"/>
        <s v="b"/>
        <s v="c"/>
      </sharedItems>
    </cacheField>
    <cacheField name="Amount" numFmtId="0">
      <sharedItems containsSemiMixedTypes="0" containsString="0" containsNumber="1" containsInteger="1" minValue="11" maxValue="84"/>
    </cacheField>
    <cacheField name="Date" numFmtId="14">
      <sharedItems containsSemiMixedTypes="0" containsNonDate="0" containsDate="1" containsString="0" minDate="2026-01-15T00:00:00" maxDate="2026-03-11T00:00:00"/>
    </cacheField>
    <cacheField name="Size" numFmtId="0">
      <sharedItems containsSemiMixedTypes="0" containsString="0" containsNumber="1" containsInteger="1" minValue="1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1"/>
    <d v="2026-01-15T00:00:00"/>
    <n v="10"/>
  </r>
  <r>
    <x v="1"/>
    <x v="1"/>
    <n v="23"/>
    <d v="2026-01-15T00:00:00"/>
    <n v="20"/>
  </r>
  <r>
    <x v="0"/>
    <x v="1"/>
    <n v="35"/>
    <d v="2026-02-01T00:00:00"/>
    <n v="10"/>
  </r>
  <r>
    <x v="2"/>
    <x v="0"/>
    <n v="47"/>
    <d v="2026-02-01T00:00:00"/>
    <n v="20"/>
  </r>
  <r>
    <x v="1"/>
    <x v="0"/>
    <n v="59"/>
    <d v="2026-01-15T00:00:00"/>
    <n v="10"/>
  </r>
  <r>
    <x v="0"/>
    <x v="0"/>
    <n v="61"/>
    <d v="2026-03-10T00:00:00"/>
    <n v="20"/>
  </r>
  <r>
    <x v="2"/>
    <x v="2"/>
    <n v="72"/>
    <d v="2026-03-10T00:00:00"/>
    <n v="10"/>
  </r>
  <r>
    <x v="1"/>
    <x v="2"/>
    <n v="84"/>
    <d v="2026-02-01T00:00:00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92DB73-551E-4A57-9F78-45AA76CFA499}" name="PT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K8" firstHeaderRow="1" firstDataRow="2" firstDataCol="1"/>
  <pivotFields count="5">
    <pivotField axis="axisRow" showAll="0">
      <items count="4">
        <item x="2"/>
        <item x="0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numFmtId="14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CE373-CCF9-4B11-A41D-303F462A4036}">
  <dimension ref="A1:S9"/>
  <sheetViews>
    <sheetView tabSelected="1" workbookViewId="0"/>
  </sheetViews>
  <sheetFormatPr defaultRowHeight="15" x14ac:dyDescent="0.25"/>
  <cols>
    <col min="7" max="7" width="14.85546875" bestFit="1" customWidth="1"/>
    <col min="8" max="8" width="16.85546875" bestFit="1" customWidth="1"/>
    <col min="9" max="9" width="3" bestFit="1" customWidth="1"/>
    <col min="10" max="10" width="4" bestFit="1" customWidth="1"/>
    <col min="11" max="11" width="11.28515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Q1">
        <f>GETPIVOTDATA("Amount",$G$3)</f>
        <v>392</v>
      </c>
      <c r="S1" s="1" t="s">
        <v>15</v>
      </c>
    </row>
    <row r="2" spans="1:19" x14ac:dyDescent="0.25">
      <c r="A2" s="1" t="s">
        <v>5</v>
      </c>
      <c r="B2" s="1" t="s">
        <v>6</v>
      </c>
      <c r="C2">
        <v>11</v>
      </c>
      <c r="D2" s="2">
        <v>46037</v>
      </c>
      <c r="E2">
        <v>10</v>
      </c>
      <c r="Q2">
        <f>GETPIVOTDATA("Amount",$G$3,"Region","north")</f>
        <v>107</v>
      </c>
      <c r="S2" s="1" t="s">
        <v>16</v>
      </c>
    </row>
    <row r="3" spans="1:19" x14ac:dyDescent="0.25">
      <c r="A3" s="1" t="s">
        <v>7</v>
      </c>
      <c r="B3" s="1" t="s">
        <v>8</v>
      </c>
      <c r="C3">
        <v>23</v>
      </c>
      <c r="D3" s="2">
        <v>46037</v>
      </c>
      <c r="E3">
        <v>20</v>
      </c>
      <c r="G3" s="3" t="s">
        <v>14</v>
      </c>
      <c r="H3" s="3" t="s">
        <v>13</v>
      </c>
      <c r="Q3">
        <f>GETPIVOTDATA("Amount",$G$3,"Category","a")</f>
        <v>178</v>
      </c>
      <c r="S3" s="1" t="s">
        <v>17</v>
      </c>
    </row>
    <row r="4" spans="1:19" x14ac:dyDescent="0.25">
      <c r="A4" s="1" t="s">
        <v>5</v>
      </c>
      <c r="B4" s="1" t="s">
        <v>8</v>
      </c>
      <c r="C4">
        <v>35</v>
      </c>
      <c r="D4" s="2">
        <v>46054</v>
      </c>
      <c r="E4">
        <v>10</v>
      </c>
      <c r="G4" s="3" t="s">
        <v>11</v>
      </c>
      <c r="H4" t="s">
        <v>6</v>
      </c>
      <c r="I4" t="s">
        <v>8</v>
      </c>
      <c r="J4" t="s">
        <v>10</v>
      </c>
      <c r="K4" t="s">
        <v>12</v>
      </c>
      <c r="Q4">
        <f>GETPIVOTDATA("Amount",$G$3,"Region","south","Category","c")</f>
        <v>84</v>
      </c>
      <c r="S4" s="1" t="s">
        <v>18</v>
      </c>
    </row>
    <row r="5" spans="1:19" x14ac:dyDescent="0.25">
      <c r="A5" s="1" t="s">
        <v>9</v>
      </c>
      <c r="B5" s="1" t="s">
        <v>6</v>
      </c>
      <c r="C5">
        <v>47</v>
      </c>
      <c r="D5" s="2">
        <v>46054</v>
      </c>
      <c r="E5">
        <v>20</v>
      </c>
      <c r="G5" s="4" t="s">
        <v>9</v>
      </c>
      <c r="H5" s="5">
        <v>47</v>
      </c>
      <c r="I5" s="5"/>
      <c r="J5" s="5">
        <v>72</v>
      </c>
      <c r="K5" s="5">
        <v>119</v>
      </c>
      <c r="Q5">
        <f>GETPIVOTDATA("Amount",$G$3,"Category","c","Region","east")</f>
        <v>72</v>
      </c>
      <c r="S5" s="1" t="s">
        <v>19</v>
      </c>
    </row>
    <row r="6" spans="1:19" x14ac:dyDescent="0.25">
      <c r="A6" s="1" t="s">
        <v>7</v>
      </c>
      <c r="B6" s="1" t="s">
        <v>6</v>
      </c>
      <c r="C6">
        <v>59</v>
      </c>
      <c r="D6" s="2">
        <v>46037</v>
      </c>
      <c r="E6">
        <v>10</v>
      </c>
      <c r="G6" s="4" t="s">
        <v>5</v>
      </c>
      <c r="H6" s="5">
        <v>72</v>
      </c>
      <c r="I6" s="5">
        <v>35</v>
      </c>
      <c r="J6" s="5"/>
      <c r="K6" s="5">
        <v>107</v>
      </c>
      <c r="Q6">
        <f>GETPIVOTDATA("Amount",$G$3,"Region","east","Category","b")</f>
        <v>0</v>
      </c>
      <c r="S6" s="1" t="s">
        <v>20</v>
      </c>
    </row>
    <row r="7" spans="1:19" x14ac:dyDescent="0.25">
      <c r="A7" s="1" t="s">
        <v>5</v>
      </c>
      <c r="B7" s="1" t="s">
        <v>6</v>
      </c>
      <c r="C7">
        <v>61</v>
      </c>
      <c r="D7" s="2">
        <v>46091</v>
      </c>
      <c r="E7">
        <v>20</v>
      </c>
      <c r="G7" s="4" t="s">
        <v>7</v>
      </c>
      <c r="H7" s="5">
        <v>59</v>
      </c>
      <c r="I7" s="5">
        <v>23</v>
      </c>
      <c r="J7" s="5">
        <v>84</v>
      </c>
      <c r="K7" s="5">
        <v>166</v>
      </c>
      <c r="Q7">
        <f>GETPIVOTDATA("Amount",$H$5,"Category","b")</f>
        <v>58</v>
      </c>
      <c r="S7" s="1" t="s">
        <v>21</v>
      </c>
    </row>
    <row r="8" spans="1:19" x14ac:dyDescent="0.25">
      <c r="A8" s="1" t="s">
        <v>9</v>
      </c>
      <c r="B8" s="1" t="s">
        <v>10</v>
      </c>
      <c r="C8">
        <v>72</v>
      </c>
      <c r="D8" s="2">
        <v>46091</v>
      </c>
      <c r="E8">
        <v>10</v>
      </c>
      <c r="G8" s="4" t="s">
        <v>12</v>
      </c>
      <c r="H8" s="5">
        <v>178</v>
      </c>
      <c r="I8" s="5">
        <v>58</v>
      </c>
      <c r="J8" s="5">
        <v>156</v>
      </c>
      <c r="K8" s="5">
        <v>392</v>
      </c>
      <c r="Q8" t="e">
        <f>GETPIVOTDATA("Amount",$A$20)</f>
        <v>#REF!</v>
      </c>
      <c r="S8" s="1" t="s">
        <v>22</v>
      </c>
    </row>
    <row r="9" spans="1:19" x14ac:dyDescent="0.25">
      <c r="A9" s="1" t="s">
        <v>7</v>
      </c>
      <c r="B9" s="1" t="s">
        <v>10</v>
      </c>
      <c r="C9">
        <v>84</v>
      </c>
      <c r="D9" s="2">
        <v>46054</v>
      </c>
      <c r="E9">
        <v>20</v>
      </c>
      <c r="Q9" t="e">
        <f>GETPIVOTDATA("Amount",$G$3,"Category","d")</f>
        <v>#REF!</v>
      </c>
      <c r="S9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2026-10-19T18:11:48Z</dcterms:created>
  <dcterms:modified xsi:type="dcterms:W3CDTF">2026-10-19T18:11:49Z</dcterms:modified>
</cp:coreProperties>
</file>