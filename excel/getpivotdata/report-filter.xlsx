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DF26009-A013-494C-94EA-C1FB27B9A4CB}" xr6:coauthVersionLast="47" xr6:coauthVersionMax="47" xr10:uidLastSave="{00000000-0000-0000-0000-000000000000}"/>
  <bookViews>
    <workbookView xWindow="1950" yWindow="1950" windowWidth="38700" windowHeight="15285" xr2:uid="{6AE015C2-CEB2-4B53-B234-0967141CADC3}"/>
  </bookViews>
  <sheets>
    <sheet name="Sheet1" sheetId="1" r:id="rId1"/>
  </sheets>
  <calcPr calcId="191029"/>
  <pivotCaches>
    <pivotCache cacheId="9" r:id="rId2"/>
    <pivotCache cacheId="14" r:id="rId3"/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1" l="1"/>
  <c r="Q11" i="1"/>
  <c r="Q10" i="1"/>
  <c r="Q9" i="1"/>
  <c r="Q8" i="1"/>
  <c r="Q7" i="1"/>
  <c r="Q6" i="1"/>
  <c r="Q5" i="1"/>
  <c r="Q4" i="1"/>
  <c r="Q3" i="1"/>
  <c r="Q2" i="1"/>
  <c r="Q1" i="1"/>
</calcChain>
</file>

<file path=xl/sharedStrings.xml><?xml version="1.0" encoding="utf-8"?>
<sst xmlns="http://schemas.openxmlformats.org/spreadsheetml/2006/main" count="56" uniqueCount="28">
  <si>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</si>
  <si>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</si>
  <si>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</si>
  <si>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</si>
  <si>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</si>
  <si>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</si>
  <si>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</si>
  <si>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</si>
  <si>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</si>
  <si>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</si>
  <si>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</si>
  <si>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</si>
  <si>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</si>
  <si>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(All)</t>
  </si>
  <si>
    <t>Sum of Amount</t>
  </si>
  <si>
    <t>(Multiple Items)</t>
  </si>
  <si>
    <t>Q1: =GETPIVOTDATA("Amount",$G$5)</t>
  </si>
  <si>
    <t>Q2: =GETPIVOTDATA("Amount",$G$5,"Category","a")</t>
  </si>
  <si>
    <t>Q3: =GETPIVOTDATA("Amount",$G$5,"Region","north")</t>
  </si>
  <si>
    <t>Q4: =GETPIVOTDATA("Amount",$G$5,"Region","south")</t>
  </si>
  <si>
    <t>Q5: =GETPIVOTDATA("Amount",$G$5,"Region","north","Category","b")</t>
  </si>
  <si>
    <t>Q6: =GETPIVOTDATA("Amount",$G$3,"Category","a")</t>
  </si>
  <si>
    <t>Q7: =GETPIVOTDATA("Amount",$G$20)</t>
  </si>
  <si>
    <t>Q8: =GETPIVOTDATA("Amount",$G$20,"Region","north")</t>
  </si>
  <si>
    <t>Q9: =GETPIVOTDATA("Amount",$G$20,"Category","c")</t>
  </si>
  <si>
    <t>Q10: =GETPIVOTDATA("Amount",$G$35)</t>
  </si>
  <si>
    <t>Q11: =GETPIVOTDATA("Amount",$G$35,"Region","north")</t>
  </si>
  <si>
    <t>Q12: =GETPIVOTDATA("Amount",$G$35,"Category","a")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</si>
</sst>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884722219" createdVersion="8" refreshedVersion="8" minRefreshableVersion="3" recordCount="8" xr:uid="{B5C6D2E6-BBDB-4AE4-BA2B-1FD307E0F462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885416665" createdVersion="8" refreshedVersion="8" minRefreshableVersion="3" recordCount="8" xr:uid="{800F997A-2F5D-4F00-820E-0CD56453C5C6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885879627" createdVersion="8" refreshedVersion="8" minRefreshableVersion="3" recordCount="8" xr:uid="{CE80A7AE-BDDB-420C-B381-4A9EF7AB9261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  <d v="2026-01-15T00:00:00"/>
    <n v="10"/>
  </r>
  <r>
    <x v="1"/>
    <x v="1"/>
    <n v="23"/>
    <d v="2026-01-15T00:00:00"/>
    <n v="20"/>
  </r>
  <r>
    <x v="0"/>
    <x v="1"/>
    <n v="35"/>
    <d v="2026-02-01T00:00:00"/>
    <n v="10"/>
  </r>
  <r>
    <x v="2"/>
    <x v="0"/>
    <n v="47"/>
    <d v="2026-02-01T00:00:00"/>
    <n v="20"/>
  </r>
  <r>
    <x v="1"/>
    <x v="0"/>
    <n v="59"/>
    <d v="2026-01-15T00:00:00"/>
    <n v="10"/>
  </r>
  <r>
    <x v="0"/>
    <x v="0"/>
    <n v="61"/>
    <d v="2026-03-10T00:00:00"/>
    <n v="20"/>
  </r>
  <r>
    <x v="2"/>
    <x v="2"/>
    <n v="72"/>
    <d v="2026-03-10T00:00:00"/>
    <n v="10"/>
  </r>
  <r>
    <x v="1"/>
    <x v="2"/>
    <n v="84"/>
    <d v="2026-02-01T00:00:00"/>
    <n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  <d v="2026-01-15T00:00:00"/>
    <n v="10"/>
  </r>
  <r>
    <x v="1"/>
    <x v="1"/>
    <n v="23"/>
    <d v="2026-01-15T00:00:00"/>
    <n v="20"/>
  </r>
  <r>
    <x v="0"/>
    <x v="1"/>
    <n v="35"/>
    <d v="2026-02-01T00:00:00"/>
    <n v="10"/>
  </r>
  <r>
    <x v="2"/>
    <x v="0"/>
    <n v="47"/>
    <d v="2026-02-01T00:00:00"/>
    <n v="20"/>
  </r>
  <r>
    <x v="1"/>
    <x v="0"/>
    <n v="59"/>
    <d v="2026-01-15T00:00:00"/>
    <n v="10"/>
  </r>
  <r>
    <x v="0"/>
    <x v="0"/>
    <n v="61"/>
    <d v="2026-03-10T00:00:00"/>
    <n v="20"/>
  </r>
  <r>
    <x v="2"/>
    <x v="2"/>
    <n v="72"/>
    <d v="2026-03-10T00:00:00"/>
    <n v="10"/>
  </r>
  <r>
    <x v="1"/>
    <x v="2"/>
    <n v="84"/>
    <d v="2026-02-01T00:00:00"/>
    <n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  <d v="2026-01-15T00:00:00"/>
    <n v="10"/>
  </r>
  <r>
    <x v="1"/>
    <x v="1"/>
    <n v="23"/>
    <d v="2026-01-15T00:00:00"/>
    <n v="20"/>
  </r>
  <r>
    <x v="0"/>
    <x v="1"/>
    <n v="35"/>
    <d v="2026-02-01T00:00:00"/>
    <n v="10"/>
  </r>
  <r>
    <x v="2"/>
    <x v="0"/>
    <n v="47"/>
    <d v="2026-02-01T00:00:00"/>
    <n v="20"/>
  </r>
  <r>
    <x v="1"/>
    <x v="0"/>
    <n v="59"/>
    <d v="2026-01-15T00:00:00"/>
    <n v="10"/>
  </r>
  <r>
    <x v="0"/>
    <x v="0"/>
    <n v="61"/>
    <d v="2026-03-10T00:00:00"/>
    <n v="20"/>
  </r>
  <r>
    <x v="2"/>
    <x v="2"/>
    <n v="72"/>
    <d v="2026-03-10T00:00:00"/>
    <n v="10"/>
  </r>
  <r>
    <x v="1"/>
    <x v="2"/>
    <n v="84"/>
    <d v="2026-02-01T00:00: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2F193-2F12-41D5-8E71-234A3714DAF6}" name="PT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5:H39" firstHeaderRow="1" firstDataRow="1" firstDataCol="1" rowPageCount="1" colPageCount="1"/>
  <pivotFields count="5">
    <pivotField axis="axisPage" multipleItemSelectionAllowed="1" showAll="0">
      <items count="4">
        <item h="1"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numFmtId="14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B9B9D-3BDC-4046-911E-8BAD6AD4D261}" name="PT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24" firstHeaderRow="1" firstDataRow="1" firstDataCol="1" rowPageCount="1" colPageCount="1"/>
  <pivotFields count="5"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numFmtId="14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9206E-FDAC-41B4-A6A9-F3574CAF69F7}" name="PT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H8" firstHeaderRow="1" firstDataRow="1" firstDataCol="1" rowPageCount="1" colPageCount="1"/>
  <pivotFields count="5"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numFmtId="14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item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EA0D-80B4-4DA4-93AD-32D277E573D8}">
  <dimension ref="A1:S39"/>
  <sheetViews>
    <sheetView tabSelected="1" workbookViewId="0"/>
  </sheetViews>
  <sheetFormatPr defaultRowHeight="15" x14ac:dyDescent="0.25"/>
  <cols>
    <col min="7" max="7" width="13.42578125" bestFit="1" customWidth="1"/>
    <col min="8" max="8" width="17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>
        <f>GETPIVOTDATA("Amount",$G$5)</f>
        <v>107</v>
      </c>
      <c r="S1" s="1" t="s">
        <v>16</v>
      </c>
    </row>
    <row r="2" spans="1:19" x14ac:dyDescent="0.25">
      <c r="A2" s="1" t="s">
        <v>5</v>
      </c>
      <c r="B2" s="1" t="s">
        <v>6</v>
      </c>
      <c r="C2">
        <v>11</v>
      </c>
      <c r="D2" s="2">
        <v>46037</v>
      </c>
      <c r="E2">
        <v>10</v>
      </c>
      <c r="Q2">
        <f>GETPIVOTDATA("Amount",$G$5,"Category","a")</f>
        <v>72</v>
      </c>
      <c r="S2" s="1" t="s">
        <v>17</v>
      </c>
    </row>
    <row r="3" spans="1:19" x14ac:dyDescent="0.25">
      <c r="A3" s="1" t="s">
        <v>7</v>
      </c>
      <c r="B3" s="1" t="s">
        <v>8</v>
      </c>
      <c r="C3">
        <v>23</v>
      </c>
      <c r="D3" s="2">
        <v>46037</v>
      </c>
      <c r="E3">
        <v>20</v>
      </c>
      <c r="G3" s="3" t="s">
        <v>0</v>
      </c>
      <c r="H3" t="s">
        <v>5</v>
      </c>
      <c r="Q3">
        <f>GETPIVOTDATA("Amount",$G$5,"Region","north")</f>
        <v>107</v>
      </c>
      <c r="S3" s="1" t="s">
        <v>18</v>
      </c>
    </row>
    <row r="4" spans="1:19" x14ac:dyDescent="0.25">
      <c r="A4" s="1" t="s">
        <v>5</v>
      </c>
      <c r="B4" s="1" t="s">
        <v>8</v>
      </c>
      <c r="C4">
        <v>35</v>
      </c>
      <c r="D4" s="2">
        <v>46054</v>
      </c>
      <c r="E4">
        <v>10</v>
      </c>
      <c r="Q4" t="e">
        <f>GETPIVOTDATA("Amount",$G$5,"Region","south")</f>
        <v>#REF!</v>
      </c>
      <c r="S4" s="1" t="s">
        <v>19</v>
      </c>
    </row>
    <row r="5" spans="1:19" x14ac:dyDescent="0.25">
      <c r="A5" s="1" t="s">
        <v>9</v>
      </c>
      <c r="B5" s="1" t="s">
        <v>6</v>
      </c>
      <c r="C5">
        <v>47</v>
      </c>
      <c r="D5" s="2">
        <v>46054</v>
      </c>
      <c r="E5">
        <v>20</v>
      </c>
      <c r="G5" s="3" t="s">
        <v>11</v>
      </c>
      <c r="H5" t="s">
        <v>14</v>
      </c>
      <c r="Q5">
        <f>GETPIVOTDATA("Amount",$G$5,"Region","north","Category","b")</f>
        <v>35</v>
      </c>
      <c r="S5" s="1" t="s">
        <v>20</v>
      </c>
    </row>
    <row r="6" spans="1:19" x14ac:dyDescent="0.25">
      <c r="A6" s="1" t="s">
        <v>7</v>
      </c>
      <c r="B6" s="1" t="s">
        <v>6</v>
      </c>
      <c r="C6">
        <v>59</v>
      </c>
      <c r="D6" s="2">
        <v>46037</v>
      </c>
      <c r="E6">
        <v>10</v>
      </c>
      <c r="G6" s="4" t="s">
        <v>6</v>
      </c>
      <c r="H6" s="5">
        <v>72</v>
      </c>
      <c r="Q6">
        <f>GETPIVOTDATA("Amount",$G$3,"Category","a")</f>
        <v>72</v>
      </c>
      <c r="S6" s="1" t="s">
        <v>21</v>
      </c>
    </row>
    <row r="7" spans="1:19" x14ac:dyDescent="0.25">
      <c r="A7" s="1" t="s">
        <v>5</v>
      </c>
      <c r="B7" s="1" t="s">
        <v>6</v>
      </c>
      <c r="C7">
        <v>61</v>
      </c>
      <c r="D7" s="2">
        <v>46091</v>
      </c>
      <c r="E7">
        <v>20</v>
      </c>
      <c r="G7" s="4" t="s">
        <v>8</v>
      </c>
      <c r="H7" s="5">
        <v>35</v>
      </c>
      <c r="Q7">
        <f>GETPIVOTDATA("Amount",$G$20)</f>
        <v>392</v>
      </c>
      <c r="S7" s="1" t="s">
        <v>22</v>
      </c>
    </row>
    <row r="8" spans="1:19" x14ac:dyDescent="0.25">
      <c r="A8" s="1" t="s">
        <v>9</v>
      </c>
      <c r="B8" s="1" t="s">
        <v>10</v>
      </c>
      <c r="C8">
        <v>72</v>
      </c>
      <c r="D8" s="2">
        <v>46091</v>
      </c>
      <c r="E8">
        <v>10</v>
      </c>
      <c r="G8" s="4" t="s">
        <v>12</v>
      </c>
      <c r="H8" s="5">
        <v>107</v>
      </c>
      <c r="Q8" t="e">
        <f>GETPIVOTDATA("Amount",$G$20,"Region","north")</f>
        <v>#REF!</v>
      </c>
      <c r="S8" s="1" t="s">
        <v>23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  <c r="Q9">
        <f>GETPIVOTDATA("Amount",$G$20,"Category","c")</f>
        <v>156</v>
      </c>
      <c r="S9" s="1" t="s">
        <v>24</v>
      </c>
    </row>
    <row r="10" spans="1:19" x14ac:dyDescent="0.25">
      <c r="Q10">
        <f>GETPIVOTDATA("Amount",$G$35)</f>
        <v>273</v>
      </c>
      <c r="S10" s="1" t="s">
        <v>25</v>
      </c>
    </row>
    <row r="11" spans="1:19" x14ac:dyDescent="0.25">
      <c r="Q11" t="e">
        <f>GETPIVOTDATA("Amount",$G$35,"Region","north")</f>
        <v>#REF!</v>
      </c>
      <c r="S11" s="1" t="s">
        <v>26</v>
      </c>
    </row>
    <row r="12" spans="1:19" x14ac:dyDescent="0.25">
      <c r="Q12">
        <f>GETPIVOTDATA("Amount",$G$35,"Category","a")</f>
        <v>131</v>
      </c>
      <c r="S12" s="1" t="s">
        <v>27</v>
      </c>
    </row>
    <row r="18" spans="7:8" x14ac:dyDescent="0.25">
      <c r="G18" s="3" t="s">
        <v>0</v>
      </c>
      <c r="H18" t="s">
        <v>13</v>
      </c>
    </row>
    <row r="20" spans="7:8" x14ac:dyDescent="0.25">
      <c r="G20" s="3" t="s">
        <v>11</v>
      </c>
      <c r="H20" t="s">
        <v>14</v>
      </c>
    </row>
    <row r="21" spans="7:8" x14ac:dyDescent="0.25">
      <c r="G21" s="4" t="s">
        <v>6</v>
      </c>
      <c r="H21" s="5">
        <v>178</v>
      </c>
    </row>
    <row r="22" spans="7:8" x14ac:dyDescent="0.25">
      <c r="G22" s="4" t="s">
        <v>8</v>
      </c>
      <c r="H22" s="5">
        <v>58</v>
      </c>
    </row>
    <row r="23" spans="7:8" x14ac:dyDescent="0.25">
      <c r="G23" s="4" t="s">
        <v>10</v>
      </c>
      <c r="H23" s="5">
        <v>156</v>
      </c>
    </row>
    <row r="24" spans="7:8" x14ac:dyDescent="0.25">
      <c r="G24" s="4" t="s">
        <v>12</v>
      </c>
      <c r="H24" s="5">
        <v>392</v>
      </c>
    </row>
    <row r="33" spans="7:8" x14ac:dyDescent="0.25">
      <c r="G33" s="3" t="s">
        <v>0</v>
      </c>
      <c r="H33" t="s">
        <v>15</v>
      </c>
    </row>
    <row r="35" spans="7:8" x14ac:dyDescent="0.25">
      <c r="G35" s="3" t="s">
        <v>11</v>
      </c>
      <c r="H35" t="s">
        <v>14</v>
      </c>
    </row>
    <row r="36" spans="7:8" x14ac:dyDescent="0.25">
      <c r="G36" s="4" t="s">
        <v>6</v>
      </c>
      <c r="H36" s="5">
        <v>131</v>
      </c>
    </row>
    <row r="37" spans="7:8" x14ac:dyDescent="0.25">
      <c r="G37" s="4" t="s">
        <v>8</v>
      </c>
      <c r="H37" s="5">
        <v>58</v>
      </c>
    </row>
    <row r="38" spans="7:8" x14ac:dyDescent="0.25">
      <c r="G38" s="4" t="s">
        <v>10</v>
      </c>
      <c r="H38" s="5">
        <v>84</v>
      </c>
    </row>
    <row r="39" spans="7:8" x14ac:dyDescent="0.25">
      <c r="G39" s="4" t="s">
        <v>12</v>
      </c>
      <c r="H39" s="5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2026-10-19T18:11:49Z</dcterms:created>
  <dcterms:modified xsi:type="dcterms:W3CDTF">2026-10-19T18:11:50Z</dcterms:modified>
</cp:coreProperties>
</file>