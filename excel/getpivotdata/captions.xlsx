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B7AE7D3-8BFE-47CF-9E8F-08F8D4FEE3E1}" xr6:coauthVersionLast="47" xr6:coauthVersionMax="47" xr10:uidLastSave="{00000000-0000-0000-0000-000000000000}"/>
  <bookViews>
    <workbookView xWindow="1950" yWindow="1950" windowWidth="38700" windowHeight="15285" xr2:uid="{4B5AEBCA-478D-403E-B723-E071063F07A4}"/>
  </bookViews>
  <sheets>
    <sheet name="Sheet1" sheetId="1" r:id="rId1"/>
  </sheets>
  <calcPr calcId="191029"/>
  <pivotCaches>
    <pivotCache cacheId="3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" i="1" l="1"/>
  <c r="Q7" i="1"/>
  <c r="Q6" i="1"/>
  <c r="Q5" i="1"/>
  <c r="Q4" i="1"/>
  <c r="Q3" i="1"/>
  <c r="Q2" i="1"/>
  <c r="Q1" i="1"/>
</calcChain>
</file>

<file path=xl/sharedStrings.xml><?xml version="1.0" encoding="utf-8"?>
<sst xmlns="http://schemas.openxmlformats.org/spreadsheetml/2006/main" count="42" uniqueCount="23">
  <si>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</si>
  <si>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</si>
  <si>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</si>
  <si>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</si>
  <si>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</si>
  <si>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</si>
  <si>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</si>
  <si>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</si>
  <si>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</si>
  <si>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</si>
  <si>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</si>
  <si>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</si>
  <si>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</si>
  <si>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Total Amount</t>
  </si>
  <si>
    <t>North Zone</t>
  </si>
  <si>
    <t>Q1: =GETPIVOTDATA("Total Amount",$G$3)</t>
  </si>
  <si>
    <t>Q2: =GETPIVOTDATA("Amount",$G$3)</t>
  </si>
  <si>
    <t>Q3: =GETPIVOTDATA("Sum of Amount",$G$3)</t>
  </si>
  <si>
    <t>Q4: =GETPIVOTDATA("Amount",$G$3,"Area","south")</t>
  </si>
  <si>
    <t>Q5: =GETPIVOTDATA("Amount",$G$3,"Region","south")</t>
  </si>
  <si>
    <t>Q6: =GETPIVOTDATA("Amount",$G$3,"Region","North Zone")</t>
  </si>
  <si>
    <t>Q7: =GETPIVOTDATA("Amount",$G$3,"Region","north")</t>
  </si>
  <si>
    <t>Q8: =GETPIVOTDATA("Amount",$G$3,"Area","North Zone","Category","a")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</si>
</sst>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909374997" createdVersion="8" refreshedVersion="8" minRefreshableVersion="3" recordCount="8" xr:uid="{3EAB806C-ACED-4E28-A66A-787EF6AF2B4D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  <d v="2026-01-15T00:00:00"/>
    <n v="10"/>
  </r>
  <r>
    <x v="1"/>
    <x v="1"/>
    <n v="23"/>
    <d v="2026-01-15T00:00:00"/>
    <n v="20"/>
  </r>
  <r>
    <x v="0"/>
    <x v="1"/>
    <n v="35"/>
    <d v="2026-02-01T00:00:00"/>
    <n v="10"/>
  </r>
  <r>
    <x v="2"/>
    <x v="0"/>
    <n v="47"/>
    <d v="2026-02-01T00:00:00"/>
    <n v="20"/>
  </r>
  <r>
    <x v="1"/>
    <x v="0"/>
    <n v="59"/>
    <d v="2026-01-15T00:00:00"/>
    <n v="10"/>
  </r>
  <r>
    <x v="0"/>
    <x v="0"/>
    <n v="61"/>
    <d v="2026-03-10T00:00:00"/>
    <n v="20"/>
  </r>
  <r>
    <x v="2"/>
    <x v="2"/>
    <n v="72"/>
    <d v="2026-03-10T00:00:00"/>
    <n v="10"/>
  </r>
  <r>
    <x v="1"/>
    <x v="2"/>
    <n v="84"/>
    <d v="2026-02-01T00:00: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363A0-7E8C-4E94-8514-E596A34AA6F0}" name="PT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5">
    <pivotField name="Area" axis="axisRow" showAll="0">
      <items count="4">
        <item x="2"/>
        <item n="North Zone"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numFmtId="14" showAll="0"/>
    <pivotField showAll="0"/>
  </pivotFields>
  <rowFields count="2">
    <field x="0"/>
    <field x="1"/>
  </rowFields>
  <rowItems count="11">
    <i>
      <x/>
    </i>
    <i r="1"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Total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AD07-3D8B-45CF-AA92-3D23F0DA1F29}">
  <dimension ref="A1:S14"/>
  <sheetViews>
    <sheetView tabSelected="1" workbookViewId="0"/>
  </sheetViews>
  <sheetFormatPr defaultRowHeight="15" x14ac:dyDescent="0.25"/>
  <cols>
    <col min="7" max="7" width="13.42578125" bestFit="1" customWidth="1"/>
    <col min="8" max="8" width="12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>
        <f>GETPIVOTDATA("Total Amount",$G$3)</f>
        <v>392</v>
      </c>
      <c r="S1" s="1" t="s">
        <v>15</v>
      </c>
    </row>
    <row r="2" spans="1:19" x14ac:dyDescent="0.25">
      <c r="A2" s="1" t="s">
        <v>5</v>
      </c>
      <c r="B2" s="1" t="s">
        <v>6</v>
      </c>
      <c r="C2">
        <v>11</v>
      </c>
      <c r="D2" s="2">
        <v>46037</v>
      </c>
      <c r="E2">
        <v>10</v>
      </c>
      <c r="Q2">
        <f>GETPIVOTDATA("Amount",$G$3)</f>
        <v>392</v>
      </c>
      <c r="S2" s="1" t="s">
        <v>16</v>
      </c>
    </row>
    <row r="3" spans="1:19" x14ac:dyDescent="0.25">
      <c r="A3" s="1" t="s">
        <v>7</v>
      </c>
      <c r="B3" s="1" t="s">
        <v>8</v>
      </c>
      <c r="C3">
        <v>23</v>
      </c>
      <c r="D3" s="2">
        <v>46037</v>
      </c>
      <c r="E3">
        <v>20</v>
      </c>
      <c r="G3" s="3" t="s">
        <v>11</v>
      </c>
      <c r="H3" t="s">
        <v>13</v>
      </c>
      <c r="Q3" t="e">
        <f>GETPIVOTDATA("Sum of Amount",$G$3)</f>
        <v>#REF!</v>
      </c>
      <c r="S3" s="1" t="s">
        <v>17</v>
      </c>
    </row>
    <row r="4" spans="1:19" x14ac:dyDescent="0.25">
      <c r="A4" s="1" t="s">
        <v>5</v>
      </c>
      <c r="B4" s="1" t="s">
        <v>8</v>
      </c>
      <c r="C4">
        <v>35</v>
      </c>
      <c r="D4" s="2">
        <v>46054</v>
      </c>
      <c r="E4">
        <v>10</v>
      </c>
      <c r="G4" s="4" t="s">
        <v>9</v>
      </c>
      <c r="H4" s="6">
        <v>119</v>
      </c>
      <c r="Q4">
        <f>GETPIVOTDATA("Amount",$G$3,"Area","south")</f>
        <v>166</v>
      </c>
      <c r="S4" s="1" t="s">
        <v>18</v>
      </c>
    </row>
    <row r="5" spans="1:19" x14ac:dyDescent="0.25">
      <c r="A5" s="1" t="s">
        <v>9</v>
      </c>
      <c r="B5" s="1" t="s">
        <v>6</v>
      </c>
      <c r="C5">
        <v>47</v>
      </c>
      <c r="D5" s="2">
        <v>46054</v>
      </c>
      <c r="E5">
        <v>20</v>
      </c>
      <c r="G5" s="5" t="s">
        <v>6</v>
      </c>
      <c r="H5" s="6">
        <v>47</v>
      </c>
      <c r="Q5" t="e">
        <f>GETPIVOTDATA("Amount",$G$3,"Region","south")</f>
        <v>#REF!</v>
      </c>
      <c r="S5" s="1" t="s">
        <v>19</v>
      </c>
    </row>
    <row r="6" spans="1:19" x14ac:dyDescent="0.25">
      <c r="A6" s="1" t="s">
        <v>7</v>
      </c>
      <c r="B6" s="1" t="s">
        <v>6</v>
      </c>
      <c r="C6">
        <v>59</v>
      </c>
      <c r="D6" s="2">
        <v>46037</v>
      </c>
      <c r="E6">
        <v>10</v>
      </c>
      <c r="G6" s="5" t="s">
        <v>10</v>
      </c>
      <c r="H6" s="6">
        <v>72</v>
      </c>
      <c r="Q6" t="e">
        <f>GETPIVOTDATA("Amount",$G$3,"Region","North Zone")</f>
        <v>#REF!</v>
      </c>
      <c r="S6" s="1" t="s">
        <v>20</v>
      </c>
    </row>
    <row r="7" spans="1:19" x14ac:dyDescent="0.25">
      <c r="A7" s="1" t="s">
        <v>5</v>
      </c>
      <c r="B7" s="1" t="s">
        <v>6</v>
      </c>
      <c r="C7">
        <v>61</v>
      </c>
      <c r="D7" s="2">
        <v>46091</v>
      </c>
      <c r="E7">
        <v>20</v>
      </c>
      <c r="G7" s="4" t="s">
        <v>14</v>
      </c>
      <c r="H7" s="6">
        <v>107</v>
      </c>
      <c r="Q7" t="e">
        <f>GETPIVOTDATA("Amount",$G$3,"Region","north")</f>
        <v>#REF!</v>
      </c>
      <c r="S7" s="1" t="s">
        <v>21</v>
      </c>
    </row>
    <row r="8" spans="1:19" x14ac:dyDescent="0.25">
      <c r="A8" s="1" t="s">
        <v>9</v>
      </c>
      <c r="B8" s="1" t="s">
        <v>10</v>
      </c>
      <c r="C8">
        <v>72</v>
      </c>
      <c r="D8" s="2">
        <v>46091</v>
      </c>
      <c r="E8">
        <v>10</v>
      </c>
      <c r="G8" s="5" t="s">
        <v>6</v>
      </c>
      <c r="H8" s="6">
        <v>72</v>
      </c>
      <c r="Q8">
        <f>GETPIVOTDATA("Amount",$G$3,"Area","North Zone","Category","a")</f>
        <v>72</v>
      </c>
      <c r="S8" s="1" t="s">
        <v>22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  <c r="G9" s="5" t="s">
        <v>8</v>
      </c>
      <c r="H9" s="6">
        <v>35</v>
      </c>
    </row>
    <row r="10" spans="1:19" x14ac:dyDescent="0.25">
      <c r="G10" s="4" t="s">
        <v>7</v>
      </c>
      <c r="H10" s="6">
        <v>166</v>
      </c>
    </row>
    <row r="11" spans="1:19" x14ac:dyDescent="0.25">
      <c r="G11" s="5" t="s">
        <v>6</v>
      </c>
      <c r="H11" s="6">
        <v>59</v>
      </c>
    </row>
    <row r="12" spans="1:19" x14ac:dyDescent="0.25">
      <c r="G12" s="5" t="s">
        <v>8</v>
      </c>
      <c r="H12" s="6">
        <v>23</v>
      </c>
    </row>
    <row r="13" spans="1:19" x14ac:dyDescent="0.25">
      <c r="G13" s="5" t="s">
        <v>10</v>
      </c>
      <c r="H13" s="6">
        <v>84</v>
      </c>
    </row>
    <row r="14" spans="1:19" x14ac:dyDescent="0.25">
      <c r="G14" s="4" t="s">
        <v>12</v>
      </c>
      <c r="H14" s="6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2026-10-19T18:11:51Z</dcterms:created>
  <dcterms:modified xsi:type="dcterms:W3CDTF">2026-10-19T18:11:52Z</dcterms:modified>
</cp:coreProperties>
</file>