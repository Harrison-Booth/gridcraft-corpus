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FBC1697-0423-4731-BA21-08E5C7DA259F}" xr6:coauthVersionLast="47" xr6:coauthVersionMax="47" xr10:uidLastSave="{00000000-0000-0000-0000-000000000000}"/>
  <bookViews>
    <workbookView xWindow="-110" yWindow="-110" windowWidth="25180" windowHeight="16140" xr2:uid="{AB08697B-1C32-4339-AA08-1A7566D935D8}"/>
  </bookViews>
  <sheets>
    <sheet name="Sheet1" sheetId="1" r:id="rId1"/>
  </sheet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  <c r="I3" i="1"/>
  <c r="I2" i="1"/>
  <c r="I1" i="1"/>
</calcChain>
</file>

<file path=xl/sharedStrings.xml><?xml version="1.0" encoding="utf-8"?>
<sst xmlns="http://schemas.openxmlformats.org/spreadsheetml/2006/main" count="43" uniqueCount="22">
  <si>
    <t>Region</t>
  </si>
  <si>
    <t>Category</t>
  </si>
  <si>
    <t>Amount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</si>
  <si>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</si>
  <si>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</si>
  <si>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</si>
  <si>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</si>
  <si>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</si>
  <si>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</si>
  <si>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</si>
  <si>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</si>
  <si>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</si>
  <si>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I1: =GETPIVOTDATA("Amount",$E$3)</t>
  </si>
  <si>
    <t>I2: =GETPIVOTDATA("Amount",$E$3,"Region","north")</t>
  </si>
  <si>
    <t>I3: =GETPIVOTDATA("Amount",$E$3,"Region","north","Category","a")</t>
  </si>
  <si>
    <t>I4: =GETPIVOTDATA("Sum of Amount",$E$3,"Region","south")</t>
  </si>
  <si>
    <t>I5: =GETPIVOTDATA("amount",$E$3,"region","EAST","category","C")</t>
  </si>
  <si>
    <t>I6: =GETPIVOTDATA("Amount",$F$6,"Region",A11)</t>
  </si>
  <si>
    <t>I7: =GETPIVOTDATA("Amount",$E$3,"Category","b")</t>
  </si>
  <si>
    <t>I8: =GETPIVOTDATA("Amount",$E$3,"Region","west")</t>
  </si>
  <si>
    <t>I9: =GETPIVOTDATA("Amount",$E$3,"Region","east","Category","b")</t>
  </si>
  <si>
    <t>I10: =GETPIVOTDATA("Total",$E$3)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</si>
</sst>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99186458332" createdVersion="8" refreshedVersion="8" minRefreshableVersion="3" recordCount="8" xr:uid="{C6E54FD8-7FE8-4E49-8F60-80A0C4473DBE}">
  <cacheSource type="worksheet">
    <worksheetSource ref="A1:C9" sheet="Sheet1"/>
  </cacheSource>
  <cacheFields count="3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</r>
  <r>
    <x v="1"/>
    <x v="1"/>
    <n v="23"/>
  </r>
  <r>
    <x v="0"/>
    <x v="1"/>
    <n v="35"/>
  </r>
  <r>
    <x v="2"/>
    <x v="0"/>
    <n v="47"/>
  </r>
  <r>
    <x v="1"/>
    <x v="0"/>
    <n v="59"/>
  </r>
  <r>
    <x v="0"/>
    <x v="0"/>
    <n v="61"/>
  </r>
  <r>
    <x v="2"/>
    <x v="2"/>
    <n v="72"/>
  </r>
  <r>
    <x v="1"/>
    <x v="2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A987B-60AA-42F5-A383-3758FD2D5135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1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2B78-9DA4-4777-AC61-ADCA699073E1}">
  <dimension ref="A1:K14"/>
  <sheetViews>
    <sheetView tabSelected="1" workbookViewId="0"/>
  </sheetViews>
  <sheetFormatPr defaultRowHeight="14.5" x14ac:dyDescent="0.35"/>
  <cols>
    <col min="5" max="5" width="12.453125" bestFit="1" customWidth="1"/>
    <col min="6" max="6" width="13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I1">
        <f>GETPIVOTDATA("Amount",$E$3)</f>
        <v>392</v>
      </c>
      <c r="K1" s="1" t="s">
        <v>12</v>
      </c>
    </row>
    <row r="2" spans="1:11" x14ac:dyDescent="0.35">
      <c r="A2" s="1" t="s">
        <v>3</v>
      </c>
      <c r="B2" s="1" t="s">
        <v>4</v>
      </c>
      <c r="C2">
        <v>11</v>
      </c>
      <c r="I2">
        <f>GETPIVOTDATA("Amount",$E$3,"Region","north")</f>
        <v>107</v>
      </c>
      <c r="K2" s="1" t="s">
        <v>13</v>
      </c>
    </row>
    <row r="3" spans="1:11" x14ac:dyDescent="0.35">
      <c r="A3" s="1" t="s">
        <v>5</v>
      </c>
      <c r="B3" s="1" t="s">
        <v>6</v>
      </c>
      <c r="C3">
        <v>23</v>
      </c>
      <c r="E3" s="2" t="s">
        <v>9</v>
      </c>
      <c r="F3" t="s">
        <v>11</v>
      </c>
      <c r="I3">
        <f>GETPIVOTDATA("Amount",$E$3,"Region","north","Category","a")</f>
        <v>72</v>
      </c>
      <c r="K3" s="1" t="s">
        <v>14</v>
      </c>
    </row>
    <row r="4" spans="1:11" x14ac:dyDescent="0.35">
      <c r="A4" s="1" t="s">
        <v>3</v>
      </c>
      <c r="B4" s="1" t="s">
        <v>6</v>
      </c>
      <c r="C4">
        <v>35</v>
      </c>
      <c r="E4" s="3" t="s">
        <v>7</v>
      </c>
      <c r="F4" s="5">
        <v>119</v>
      </c>
      <c r="I4">
        <f>GETPIVOTDATA("Sum of Amount",$E$3,"Region","south")</f>
        <v>166</v>
      </c>
      <c r="K4" s="1" t="s">
        <v>15</v>
      </c>
    </row>
    <row r="5" spans="1:11" x14ac:dyDescent="0.35">
      <c r="A5" s="1" t="s">
        <v>7</v>
      </c>
      <c r="B5" s="1" t="s">
        <v>4</v>
      </c>
      <c r="C5">
        <v>47</v>
      </c>
      <c r="E5" s="4" t="s">
        <v>4</v>
      </c>
      <c r="F5" s="5">
        <v>47</v>
      </c>
      <c r="I5">
        <f>GETPIVOTDATA("amount",$E$3,"region","EAST","category","C")</f>
        <v>72</v>
      </c>
      <c r="K5" s="1" t="s">
        <v>16</v>
      </c>
    </row>
    <row r="6" spans="1:11" x14ac:dyDescent="0.35">
      <c r="A6" s="1" t="s">
        <v>5</v>
      </c>
      <c r="B6" s="1" t="s">
        <v>4</v>
      </c>
      <c r="C6">
        <v>59</v>
      </c>
      <c r="E6" s="4" t="s">
        <v>8</v>
      </c>
      <c r="F6" s="5">
        <v>72</v>
      </c>
      <c r="I6">
        <f>GETPIVOTDATA("Amount",$F$6,"Region",A11)</f>
        <v>107</v>
      </c>
      <c r="K6" s="1" t="s">
        <v>17</v>
      </c>
    </row>
    <row r="7" spans="1:11" x14ac:dyDescent="0.35">
      <c r="A7" s="1" t="s">
        <v>3</v>
      </c>
      <c r="B7" s="1" t="s">
        <v>4</v>
      </c>
      <c r="C7">
        <v>61</v>
      </c>
      <c r="E7" s="3" t="s">
        <v>3</v>
      </c>
      <c r="F7" s="5">
        <v>107</v>
      </c>
      <c r="I7" t="e">
        <f>GETPIVOTDATA("Amount",$E$3,"Category","b")</f>
        <v>#REF!</v>
      </c>
      <c r="K7" s="1" t="s">
        <v>18</v>
      </c>
    </row>
    <row r="8" spans="1:11" x14ac:dyDescent="0.35">
      <c r="A8" s="1" t="s">
        <v>7</v>
      </c>
      <c r="B8" s="1" t="s">
        <v>8</v>
      </c>
      <c r="C8">
        <v>72</v>
      </c>
      <c r="E8" s="4" t="s">
        <v>4</v>
      </c>
      <c r="F8" s="5">
        <v>72</v>
      </c>
      <c r="I8" t="e">
        <f>GETPIVOTDATA("Amount",$E$3,"Region","west")</f>
        <v>#REF!</v>
      </c>
      <c r="K8" s="1" t="s">
        <v>19</v>
      </c>
    </row>
    <row r="9" spans="1:11" x14ac:dyDescent="0.35">
      <c r="A9" s="1" t="s">
        <v>5</v>
      </c>
      <c r="B9" s="1" t="s">
        <v>8</v>
      </c>
      <c r="C9">
        <v>84</v>
      </c>
      <c r="E9" s="4" t="s">
        <v>6</v>
      </c>
      <c r="F9" s="5">
        <v>35</v>
      </c>
      <c r="I9" t="e">
        <f>GETPIVOTDATA("Amount",$E$3,"Region","east","Category","b")</f>
        <v>#REF!</v>
      </c>
      <c r="K9" s="1" t="s">
        <v>20</v>
      </c>
    </row>
    <row r="10" spans="1:11" x14ac:dyDescent="0.35">
      <c r="E10" s="3" t="s">
        <v>5</v>
      </c>
      <c r="F10" s="5">
        <v>166</v>
      </c>
      <c r="I10" t="e">
        <f>GETPIVOTDATA("Total",$E$3)</f>
        <v>#REF!</v>
      </c>
      <c r="K10" s="1" t="s">
        <v>21</v>
      </c>
    </row>
    <row r="11" spans="1:11" x14ac:dyDescent="0.35">
      <c r="A11" s="1" t="s">
        <v>3</v>
      </c>
      <c r="E11" s="4" t="s">
        <v>4</v>
      </c>
      <c r="F11" s="5">
        <v>59</v>
      </c>
    </row>
    <row r="12" spans="1:11" x14ac:dyDescent="0.35">
      <c r="E12" s="4" t="s">
        <v>6</v>
      </c>
      <c r="F12" s="5">
        <v>23</v>
      </c>
    </row>
    <row r="13" spans="1:11" x14ac:dyDescent="0.35">
      <c r="E13" s="4" t="s">
        <v>8</v>
      </c>
      <c r="F13" s="5">
        <v>84</v>
      </c>
    </row>
    <row r="14" spans="1:11" x14ac:dyDescent="0.35">
      <c r="E14" s="3" t="s">
        <v>10</v>
      </c>
      <c r="F14" s="5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2026-10-14T21:46:49Z</dcterms:created>
  <dcterms:modified xsi:type="dcterms:W3CDTF">2026-10-14T21:46:49Z</dcterms:modified>
</cp:coreProperties>
</file>